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Daily Rate Guide" sheetId="2" state="visible" r:id="rId2"/>
    <sheet name="Daily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2F50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2F5061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/>
    </xf>
    <xf numFmtId="0" fontId="4" fillId="3" borderId="1" pivotButton="0" quotePrefix="0" xfId="0"/>
    <xf numFmtId="9" fontId="4" fillId="3" borderId="1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/>
    </xf>
    <xf numFmtId="164" fontId="4" fillId="3" borderId="1" pivotButton="0" quotePrefix="0" xfId="0"/>
    <xf numFmtId="164" fontId="5" fillId="0" borderId="0" pivotButton="0" quotePrefix="0" xfId="0"/>
    <xf numFmtId="164" fontId="3" fillId="0" borderId="2" pivotButton="0" quotePrefix="0" xfId="0"/>
    <xf numFmtId="164" fontId="3" fillId="0" borderId="0" pivotButton="0" quotePrefix="0" xfId="0"/>
    <xf numFmtId="9" fontId="5" fillId="0" borderId="0" pivotButton="0" quotePrefix="0" xfId="0"/>
    <xf numFmtId="0" fontId="7" fillId="0" borderId="0" pivotButton="0" quotePrefix="0" xfId="0"/>
    <xf numFmtId="164" fontId="7" fillId="0" borderId="2" pivotButton="0" quotePrefix="0" xfId="0"/>
    <xf numFmtId="164" fontId="7" fillId="0" borderId="0" pivotButton="0" quotePrefix="0" xfId="0"/>
    <xf numFmtId="0" fontId="6" fillId="4" borderId="0" pivotButton="0" quotePrefix="0" xfId="0"/>
    <xf numFmtId="0" fontId="5" fillId="5" borderId="0" pivotButton="0" quotePrefix="0" xfId="0"/>
    <xf numFmtId="164" fontId="5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7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2">
      <c r="B2" s="1" t="inlineStr">
        <is>
          <t>Travel Budget Template</t>
        </is>
      </c>
    </row>
    <row r="3">
      <c r="B3" s="2" t="inlineStr">
        <is>
          <t>destination.com — the five-category structure. Fill in the yellow cells only.</t>
        </is>
      </c>
    </row>
    <row r="4">
      <c r="B4" s="2" t="inlineStr">
        <is>
          <t>Totals appear blank until you open this in Excel, Google Sheets or Numbers — they calculate on open.</t>
        </is>
      </c>
    </row>
    <row r="5">
      <c r="B5" s="3" t="inlineStr">
        <is>
          <t>TRIP SETTINGS</t>
        </is>
      </c>
      <c r="C5" s="4" t="n"/>
      <c r="D5" s="4" t="n"/>
      <c r="E5" s="4" t="n"/>
      <c r="F5" s="4" t="n"/>
    </row>
    <row r="6">
      <c r="B6" s="5" t="inlineStr">
        <is>
          <t>Destination</t>
        </is>
      </c>
      <c r="C6" s="6" t="inlineStr">
        <is>
          <t>Vietnam</t>
        </is>
      </c>
      <c r="F6" s="2" t="inlineStr">
        <is>
          <t>Example values shown — overwrite with your own</t>
        </is>
      </c>
    </row>
    <row r="7">
      <c r="B7" s="5" t="inlineStr">
        <is>
          <t>Number of days</t>
        </is>
      </c>
      <c r="C7" s="7" t="n">
        <v>14</v>
      </c>
    </row>
    <row r="8">
      <c r="B8" s="5" t="inlineStr">
        <is>
          <t>Number of travellers</t>
        </is>
      </c>
      <c r="C8" s="7" t="n">
        <v>1</v>
      </c>
    </row>
    <row r="9">
      <c r="B9" s="5" t="inlineStr">
        <is>
          <t>Contingency %</t>
        </is>
      </c>
      <c r="C9" s="8" t="n">
        <v>0.12</v>
      </c>
      <c r="F9" s="2" t="inlineStr">
        <is>
          <t>10% for a city break, 15%+ for multi-country or remote travel</t>
        </is>
      </c>
    </row>
    <row r="11">
      <c r="B11" s="5" t="inlineStr">
        <is>
          <t>HOW TO USE</t>
        </is>
      </c>
    </row>
    <row r="12">
      <c r="B12" s="9" t="inlineStr">
        <is>
          <t>Yellow cells</t>
        </is>
      </c>
      <c r="C12" s="2" t="inlineStr">
        <is>
          <t>Type your own numbers here</t>
        </is>
      </c>
    </row>
    <row r="13">
      <c r="B13" s="9" t="inlineStr">
        <is>
          <t>Blue text</t>
        </is>
      </c>
      <c r="C13" s="2" t="inlineStr">
        <is>
          <t>An input — safe to change</t>
        </is>
      </c>
    </row>
    <row r="14">
      <c r="B14" s="9" t="inlineStr">
        <is>
          <t>Black text</t>
        </is>
      </c>
      <c r="C14" s="2" t="inlineStr">
        <is>
          <t>A formula — do not overwrite</t>
        </is>
      </c>
    </row>
    <row r="15">
      <c r="B15" s="9" t="inlineStr">
        <is>
          <t>Column F</t>
        </is>
      </c>
      <c r="C15" s="2" t="inlineStr">
        <is>
          <t>Notes and reminders</t>
        </is>
      </c>
    </row>
    <row r="18">
      <c r="B18" s="10" t="inlineStr">
        <is>
          <t>CATEGORY</t>
        </is>
      </c>
      <c r="C18" s="10" t="inlineStr">
        <is>
          <t>Per person</t>
        </is>
      </c>
      <c r="D18" s="10" t="inlineStr">
        <is>
          <t>Qty</t>
        </is>
      </c>
      <c r="E18" s="10" t="inlineStr">
        <is>
          <t>Subtotal</t>
        </is>
      </c>
      <c r="F18" s="10" t="inlineStr">
        <is>
          <t>Notes</t>
        </is>
      </c>
    </row>
    <row r="19">
      <c r="B19" s="3" t="inlineStr">
        <is>
          <t>1. FIXED COSTS — paid once, regardless of trip length</t>
        </is>
      </c>
      <c r="C19" s="4" t="n"/>
      <c r="D19" s="4" t="n"/>
      <c r="E19" s="4" t="n"/>
      <c r="F19" s="4" t="n"/>
    </row>
    <row r="20">
      <c r="B20" s="9" t="inlineStr">
        <is>
          <t>International flights</t>
        </is>
      </c>
      <c r="C20" s="11" t="n">
        <v>900</v>
      </c>
      <c r="D20" s="7" t="n">
        <v>1</v>
      </c>
      <c r="E20" s="12">
        <f>C20*D20</f>
        <v/>
      </c>
      <c r="F20" s="2" t="inlineStr"/>
    </row>
    <row r="21">
      <c r="B21" s="9" t="inlineStr">
        <is>
          <t>Visa / entry fees</t>
        </is>
      </c>
      <c r="C21" s="11" t="n">
        <v>25</v>
      </c>
      <c r="D21" s="7" t="n">
        <v>1</v>
      </c>
      <c r="E21" s="12">
        <f>C21*D21</f>
        <v/>
      </c>
      <c r="F21" s="2" t="inlineStr">
        <is>
          <t>Per person</t>
        </is>
      </c>
    </row>
    <row r="22">
      <c r="B22" s="9" t="inlineStr">
        <is>
          <t>Travel insurance</t>
        </is>
      </c>
      <c r="C22" s="11" t="n">
        <v>80</v>
      </c>
      <c r="D22" s="7" t="n">
        <v>1</v>
      </c>
      <c r="E22" s="12">
        <f>C22*D22</f>
        <v/>
      </c>
      <c r="F22" s="2" t="inlineStr">
        <is>
          <t>Long-stay cover is a different product</t>
        </is>
      </c>
    </row>
    <row r="23">
      <c r="B23" s="9" t="inlineStr">
        <is>
          <t>Vaccinations</t>
        </is>
      </c>
      <c r="C23" s="11" t="n">
        <v>0</v>
      </c>
      <c r="D23" s="7" t="n">
        <v>1</v>
      </c>
      <c r="E23" s="12">
        <f>C23*D23</f>
        <v/>
      </c>
      <c r="F23" s="2" t="inlineStr">
        <is>
          <t>Plan with a travel clinic months ahead</t>
        </is>
      </c>
    </row>
    <row r="24">
      <c r="B24" s="9" t="inlineStr">
        <is>
          <t>Rail pass / car hire (block booking)</t>
        </is>
      </c>
      <c r="C24" s="11" t="n">
        <v>0</v>
      </c>
      <c r="D24" s="7" t="n">
        <v>1</v>
      </c>
      <c r="E24" s="12">
        <f>C24*D24</f>
        <v/>
      </c>
      <c r="F24" s="2" t="inlineStr"/>
    </row>
    <row r="25">
      <c r="B25" s="9" t="inlineStr">
        <is>
          <t>Gear bought for this trip</t>
        </is>
      </c>
      <c r="C25" s="11" t="n">
        <v>0</v>
      </c>
      <c r="D25" s="7" t="n">
        <v>1</v>
      </c>
      <c r="E25" s="12">
        <f>C25*D25</f>
        <v/>
      </c>
      <c r="F25" s="2" t="inlineStr"/>
    </row>
    <row r="26">
      <c r="B26" s="5" t="inlineStr">
        <is>
          <t>Fixed subtotal</t>
        </is>
      </c>
      <c r="E26" s="13">
        <f>SUM(E20:E25)</f>
        <v/>
      </c>
    </row>
    <row r="28">
      <c r="B28" s="3" t="inlineStr">
        <is>
          <t>2. DAILY COSTS — multiplied by number of days</t>
        </is>
      </c>
      <c r="C28" s="4" t="n"/>
      <c r="D28" s="4" t="n"/>
      <c r="E28" s="4" t="n"/>
      <c r="F28" s="4" t="n"/>
    </row>
    <row r="29">
      <c r="B29" s="9" t="inlineStr">
        <is>
          <t>Accommodation (per night)</t>
        </is>
      </c>
      <c r="C29" s="11" t="n">
        <v>45</v>
      </c>
      <c r="D29" s="9">
        <f>$C$7</f>
        <v/>
      </c>
      <c r="E29" s="12">
        <f>C29*D29</f>
        <v/>
      </c>
      <c r="F29" s="2" t="inlineStr">
        <is>
          <t>One fewer night than days — check your dates</t>
        </is>
      </c>
    </row>
    <row r="30">
      <c r="B30" s="9" t="inlineStr">
        <is>
          <t>Food and drink</t>
        </is>
      </c>
      <c r="C30" s="11" t="n">
        <v>18</v>
      </c>
      <c r="D30" s="9">
        <f>$C$7</f>
        <v/>
      </c>
      <c r="E30" s="12">
        <f>C30*D30</f>
        <v/>
      </c>
      <c r="F30" s="2" t="inlineStr">
        <is>
          <t>Take your best guess and add 30%. Everyone underestimates this</t>
        </is>
      </c>
    </row>
    <row r="31">
      <c r="B31" s="9" t="inlineStr">
        <is>
          <t>Local transport</t>
        </is>
      </c>
      <c r="C31" s="11" t="n">
        <v>5</v>
      </c>
      <c r="D31" s="9">
        <f>$C$7</f>
        <v/>
      </c>
      <c r="E31" s="12">
        <f>C31*D31</f>
        <v/>
      </c>
      <c r="F31" s="2" t="inlineStr"/>
    </row>
    <row r="32">
      <c r="B32" s="9" t="inlineStr">
        <is>
          <t>Incidentals (water, tips, laundry, data)</t>
        </is>
      </c>
      <c r="C32" s="11" t="n">
        <v>2</v>
      </c>
      <c r="D32" s="9">
        <f>$C$7</f>
        <v/>
      </c>
      <c r="E32" s="12">
        <f>C32*D32</f>
        <v/>
      </c>
      <c r="F32" s="2" t="inlineStr"/>
    </row>
    <row r="33">
      <c r="B33" s="5" t="inlineStr">
        <is>
          <t>Daily subtotal</t>
        </is>
      </c>
      <c r="E33" s="13">
        <f>SUM(E29:E32)</f>
        <v/>
      </c>
    </row>
    <row r="35">
      <c r="B35" s="3" t="inlineStr">
        <is>
          <t>3. ACTIVITY COSTS — list each one by name and real price</t>
        </is>
      </c>
      <c r="C35" s="4" t="n"/>
      <c r="D35" s="4" t="n"/>
      <c r="E35" s="4" t="n"/>
      <c r="F35" s="4" t="n"/>
    </row>
    <row r="36">
      <c r="B36" s="7" t="inlineStr">
        <is>
          <t>Lan Ha Bay cruise, 2 days</t>
        </is>
      </c>
      <c r="C36" s="11" t="n">
        <v>180</v>
      </c>
      <c r="D36" s="7" t="n">
        <v>1</v>
      </c>
      <c r="E36" s="12">
        <f>IFERROR(C36*D36,0)</f>
        <v/>
      </c>
      <c r="F36" s="2" t="inlineStr">
        <is>
          <t>Never average these. A safari or a permit is a line item, not a daily rate.</t>
        </is>
      </c>
    </row>
    <row r="37">
      <c r="B37" s="7" t="inlineStr">
        <is>
          <t>Internal flight</t>
        </is>
      </c>
      <c r="C37" s="11" t="n">
        <v>70</v>
      </c>
      <c r="D37" s="7" t="n">
        <v>1</v>
      </c>
      <c r="E37" s="12">
        <f>IFERROR(C37*D37,0)</f>
        <v/>
      </c>
    </row>
    <row r="38">
      <c r="B38" s="7" t="inlineStr">
        <is>
          <t>Guides and site entries</t>
        </is>
      </c>
      <c r="C38" s="11" t="n">
        <v>120</v>
      </c>
      <c r="D38" s="7" t="n">
        <v>1</v>
      </c>
      <c r="E38" s="12">
        <f>IFERROR(C38*D38,0)</f>
        <v/>
      </c>
    </row>
    <row r="39">
      <c r="B39" s="7" t="inlineStr"/>
      <c r="C39" s="11" t="n"/>
      <c r="D39" s="7" t="n">
        <v>1</v>
      </c>
      <c r="E39" s="12">
        <f>IFERROR(C39*D39,0)</f>
        <v/>
      </c>
    </row>
    <row r="40">
      <c r="B40" s="7" t="inlineStr"/>
      <c r="C40" s="11" t="n"/>
      <c r="D40" s="7" t="n">
        <v>1</v>
      </c>
      <c r="E40" s="12">
        <f>IFERROR(C40*D40,0)</f>
        <v/>
      </c>
    </row>
    <row r="41">
      <c r="B41" s="7" t="inlineStr"/>
      <c r="C41" s="11" t="n"/>
      <c r="D41" s="7" t="n">
        <v>1</v>
      </c>
      <c r="E41" s="12">
        <f>IFERROR(C41*D41,0)</f>
        <v/>
      </c>
    </row>
    <row r="42">
      <c r="B42" s="7" t="inlineStr"/>
      <c r="C42" s="11" t="n"/>
      <c r="D42" s="7" t="n">
        <v>1</v>
      </c>
      <c r="E42" s="12">
        <f>IFERROR(C42*D42,0)</f>
        <v/>
      </c>
    </row>
    <row r="43">
      <c r="B43" s="5" t="inlineStr">
        <is>
          <t>Activities subtotal</t>
        </is>
      </c>
      <c r="E43" s="13">
        <f>SUM(E36:E42)</f>
        <v/>
      </c>
    </row>
    <row r="45">
      <c r="B45" s="3" t="inlineStr">
        <is>
          <t>4. PRE-TRIP COSTS — the invisible category</t>
        </is>
      </c>
      <c r="C45" s="4" t="n"/>
      <c r="D45" s="4" t="n"/>
      <c r="E45" s="4" t="n"/>
      <c r="F45" s="4" t="n"/>
    </row>
    <row r="46">
      <c r="B46" s="9" t="inlineStr">
        <is>
          <t>Airport transfers — BOTH ends</t>
        </is>
      </c>
      <c r="C46" s="11" t="n">
        <v>90</v>
      </c>
      <c r="D46" s="9" t="n">
        <v>1</v>
      </c>
      <c r="E46" s="12">
        <f>C46*D46</f>
        <v/>
      </c>
      <c r="F46" s="2" t="inlineStr">
        <is>
          <t>Routinely forgotten, routinely $50-150 the pair</t>
        </is>
      </c>
    </row>
    <row r="47">
      <c r="B47" s="9" t="inlineStr">
        <is>
          <t>Airport parking / long-stay</t>
        </is>
      </c>
      <c r="C47" s="11" t="n">
        <v>0</v>
      </c>
      <c r="D47" s="9" t="n">
        <v>1</v>
      </c>
      <c r="E47" s="12">
        <f>C47*D47</f>
        <v/>
      </c>
      <c r="F47" s="2" t="inlineStr"/>
    </row>
    <row r="48">
      <c r="B48" s="9" t="inlineStr">
        <is>
          <t>Baggage fees (remember the return leg)</t>
        </is>
      </c>
      <c r="C48" s="11" t="n">
        <v>60</v>
      </c>
      <c r="D48" s="9" t="n">
        <v>1</v>
      </c>
      <c r="E48" s="12">
        <f>C48*D48</f>
        <v/>
      </c>
      <c r="F48" s="2" t="inlineStr"/>
    </row>
    <row r="49">
      <c r="B49" s="9" t="inlineStr">
        <is>
          <t>Pet sitting / house sitting</t>
        </is>
      </c>
      <c r="C49" s="11" t="n">
        <v>0</v>
      </c>
      <c r="D49" s="9" t="n">
        <v>1</v>
      </c>
      <c r="E49" s="12">
        <f>C49*D49</f>
        <v/>
      </c>
      <c r="F49" s="2" t="inlineStr"/>
    </row>
    <row r="50">
      <c r="B50" s="9" t="inlineStr">
        <is>
          <t>FX spread and foreign transaction fees</t>
        </is>
      </c>
      <c r="C50" s="11" t="n">
        <v>0</v>
      </c>
      <c r="D50" s="9" t="n">
        <v>1</v>
      </c>
      <c r="E50" s="12">
        <f>C50*D50</f>
        <v/>
      </c>
      <c r="F50" s="2" t="inlineStr">
        <is>
          <t>Over a long trip this is serious money</t>
        </is>
      </c>
    </row>
    <row r="51">
      <c r="B51" s="9" t="inlineStr">
        <is>
          <t>Pre-trip shop (toiletries, adaptors, bag)</t>
        </is>
      </c>
      <c r="C51" s="11" t="n">
        <v>0</v>
      </c>
      <c r="D51" s="9" t="n">
        <v>1</v>
      </c>
      <c r="E51" s="12">
        <f>C51*D51</f>
        <v/>
      </c>
      <c r="F51" s="2" t="inlineStr"/>
    </row>
    <row r="52">
      <c r="B52" s="5" t="inlineStr">
        <is>
          <t>Pre-trip subtotal</t>
        </is>
      </c>
      <c r="E52" s="13">
        <f>SUM(E46:E51)</f>
        <v/>
      </c>
    </row>
    <row r="54">
      <c r="B54" s="3" t="inlineStr">
        <is>
          <t>TOTAL</t>
        </is>
      </c>
      <c r="C54" s="4" t="n"/>
      <c r="D54" s="4" t="n"/>
      <c r="E54" s="4" t="n"/>
      <c r="F54" s="4" t="n"/>
    </row>
    <row r="55">
      <c r="B55" s="5" t="inlineStr">
        <is>
          <t>Subtotal (before contingency)</t>
        </is>
      </c>
      <c r="E55" s="14">
        <f>E26+E33+E43+E52</f>
        <v/>
      </c>
    </row>
    <row r="56">
      <c r="B56" s="5" t="inlineStr">
        <is>
          <t>Contingency</t>
        </is>
      </c>
      <c r="C56" s="15">
        <f>$C$9</f>
        <v/>
      </c>
      <c r="E56" s="14">
        <f>E55*C56</f>
        <v/>
      </c>
      <c r="F56" s="2" t="inlineStr">
        <is>
          <t>Not a slush fund. The missed connection, the sick day, the thing that broke.</t>
        </is>
      </c>
    </row>
    <row r="57">
      <c r="B57" s="16" t="inlineStr">
        <is>
          <t>TOTAL PER PERSON</t>
        </is>
      </c>
      <c r="E57" s="17">
        <f>E55+E56</f>
        <v/>
      </c>
    </row>
    <row r="58">
      <c r="B58" s="16" t="inlineStr">
        <is>
          <t>TOTAL FOR PARTY</t>
        </is>
      </c>
      <c r="E58" s="18">
        <f>E57*$C$8</f>
        <v/>
      </c>
      <c r="F58" s="2" t="inlineStr">
        <is>
          <t>Note: accommodation halves per person when sharing; food does not.</t>
        </is>
      </c>
    </row>
    <row r="59">
      <c r="B59" s="5" t="inlineStr">
        <is>
          <t>Cost per day, per person</t>
        </is>
      </c>
      <c r="E59" s="14">
        <f>IFERROR(E57/$C$7,0)</f>
        <v/>
      </c>
    </row>
    <row r="61">
      <c r="B61" s="5" t="inlineStr">
        <is>
          <t>THE COSTS PEOPLE FORGET</t>
        </is>
      </c>
    </row>
    <row r="62">
      <c r="B62" s="2" t="inlineStr">
        <is>
          <t>Almost every overrun is on this list. Tick them off against the categories above.</t>
        </is>
      </c>
    </row>
    <row r="63">
      <c r="B63" s="9" t="inlineStr">
        <is>
          <t>•  Airport transfers at BOTH ends</t>
        </is>
      </c>
    </row>
    <row r="64">
      <c r="B64" s="9" t="inlineStr">
        <is>
          <t>•  Foreign transaction fees and ATM charges</t>
        </is>
      </c>
    </row>
    <row r="65">
      <c r="B65" s="9" t="inlineStr">
        <is>
          <t>•  Tips — significant in the US, on safari, and for guides and drivers</t>
        </is>
      </c>
    </row>
    <row r="66">
      <c r="B66" s="9" t="inlineStr">
        <is>
          <t>•  Baggage fees on the return leg</t>
        </is>
      </c>
    </row>
    <row r="67">
      <c r="B67" s="9" t="inlineStr">
        <is>
          <t>•  Departure taxes and tourist levies paid on arrival</t>
        </is>
      </c>
    </row>
    <row r="68">
      <c r="B68" s="9" t="inlineStr">
        <is>
          <t>•  Laundry on trips over a week</t>
        </is>
      </c>
    </row>
    <row r="69">
      <c r="B69" s="9" t="inlineStr">
        <is>
          <t>•  The last-night splurge, which everyone has</t>
        </is>
      </c>
    </row>
    <row r="70">
      <c r="B70" s="9" t="inlineStr">
        <is>
          <t>•  Souvenirs and gifts</t>
        </is>
      </c>
    </row>
    <row r="71">
      <c r="B71" s="9" t="inlineStr">
        <is>
          <t>•  Data or eSIM top-ups</t>
        </is>
      </c>
    </row>
    <row r="72">
      <c r="B72" s="9" t="inlineStr">
        <is>
          <t>•  Vaccinations and antimalarials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50" customWidth="1" min="5" max="5"/>
  </cols>
  <sheetData>
    <row r="2">
      <c r="B2" s="1" t="inlineStr">
        <is>
          <t>Setting Your Daily Number</t>
        </is>
      </c>
    </row>
    <row r="3">
      <c r="B3" s="2" t="inlineStr">
        <is>
          <t>Starting points only. Adjust for how much you eat out, whether you drink, and how fast you move.</t>
        </is>
      </c>
    </row>
    <row r="5">
      <c r="B5" s="19" t="inlineStr">
        <is>
          <t>REGION / STYLE</t>
        </is>
      </c>
      <c r="C5" s="19" t="inlineStr">
        <is>
          <t>Low</t>
        </is>
      </c>
      <c r="D5" s="19" t="inlineStr">
        <is>
          <t>High</t>
        </is>
      </c>
      <c r="E5" s="19" t="inlineStr">
        <is>
          <t>Notes</t>
        </is>
      </c>
    </row>
    <row r="6">
      <c r="B6" s="20" t="inlineStr">
        <is>
          <t>Backpacker — Southeast Asia</t>
        </is>
      </c>
      <c r="C6" s="21" t="n">
        <v>25</v>
      </c>
      <c r="D6" s="21" t="n">
        <v>45</v>
      </c>
      <c r="E6" s="22" t="inlineStr"/>
    </row>
    <row r="7">
      <c r="B7" s="9" t="inlineStr">
        <is>
          <t>Mid-range — Southeast Asia</t>
        </is>
      </c>
      <c r="C7" s="12" t="n">
        <v>50</v>
      </c>
      <c r="D7" s="12" t="n">
        <v>90</v>
      </c>
      <c r="E7" s="2" t="inlineStr"/>
    </row>
    <row r="8">
      <c r="B8" s="20" t="inlineStr">
        <is>
          <t>Backpacker — Western Europe</t>
        </is>
      </c>
      <c r="C8" s="21" t="n">
        <v>60</v>
      </c>
      <c r="D8" s="21" t="n">
        <v>90</v>
      </c>
      <c r="E8" s="22" t="inlineStr"/>
    </row>
    <row r="9">
      <c r="B9" s="9" t="inlineStr">
        <is>
          <t>Mid-range — Western Europe</t>
        </is>
      </c>
      <c r="C9" s="12" t="n">
        <v>130</v>
      </c>
      <c r="D9" s="12" t="n">
        <v>190</v>
      </c>
      <c r="E9" s="2" t="inlineStr"/>
    </row>
    <row r="10">
      <c r="B10" s="20" t="inlineStr">
        <is>
          <t>Mid-range — USA / Japan</t>
        </is>
      </c>
      <c r="C10" s="21" t="n">
        <v>150</v>
      </c>
      <c r="D10" s="21" t="n">
        <v>250</v>
      </c>
      <c r="E10" s="22" t="inlineStr"/>
    </row>
    <row r="11">
      <c r="B11" s="9" t="inlineStr">
        <is>
          <t>Mid-range — Latin America</t>
        </is>
      </c>
      <c r="C11" s="12" t="n">
        <v>60</v>
      </c>
      <c r="D11" s="12" t="n">
        <v>110</v>
      </c>
      <c r="E11" s="2" t="inlineStr"/>
    </row>
    <row r="12">
      <c r="B12" s="20" t="inlineStr">
        <is>
          <t>Safari — East Africa, mid-range lodge</t>
        </is>
      </c>
      <c r="C12" s="21" t="n">
        <v>350</v>
      </c>
      <c r="D12" s="21" t="n">
        <v>800</v>
      </c>
      <c r="E12" s="22" t="inlineStr">
        <is>
          <t>Park fees are 15-25% of this</t>
        </is>
      </c>
    </row>
    <row r="13">
      <c r="B13" s="9" t="inlineStr">
        <is>
          <t>Galapagos — land-based</t>
        </is>
      </c>
      <c r="C13" s="12" t="n">
        <v>200</v>
      </c>
      <c r="D13" s="12" t="n">
        <v>400</v>
      </c>
      <c r="E13" s="2" t="inlineStr">
        <is>
          <t>Plus a $200 park entry fee on arrival</t>
        </is>
      </c>
    </row>
    <row r="14">
      <c r="B14" s="20" t="inlineStr">
        <is>
          <t>Guided small-group tour, Europe</t>
        </is>
      </c>
      <c r="C14" s="21" t="n">
        <v>400</v>
      </c>
      <c r="D14" s="21" t="n">
        <v>700</v>
      </c>
      <c r="E14" s="22" t="inlineStr">
        <is>
          <t>Hotels, meals and logistics included</t>
        </is>
      </c>
    </row>
    <row r="16">
      <c r="B16" s="5" t="inlineStr">
        <is>
          <t>Adjustments that matter</t>
        </is>
      </c>
    </row>
    <row r="17">
      <c r="B17" s="9" t="inlineStr">
        <is>
          <t>•  Travel days are expensive days — build in more than you think</t>
        </is>
      </c>
    </row>
    <row r="18">
      <c r="B18" s="9" t="inlineStr">
        <is>
          <t>•  Two people sharing: accommodation halves per person, food does not</t>
        </is>
      </c>
    </row>
    <row r="19">
      <c r="B19" s="9" t="inlineStr">
        <is>
          <t>•  Add roughly 30% to your food estimate. Holiday eating is not home eating</t>
        </is>
      </c>
    </row>
    <row r="20">
      <c r="B20" s="9" t="inlineStr">
        <is>
          <t>•  You have one fewer night than days</t>
        </is>
      </c>
    </row>
    <row r="22">
      <c r="B22" s="2" t="inlineStr">
        <is>
          <t>Source: destination.com regional guides. Figures are indicative and reviewed annually.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52" customWidth="1" min="9" max="9"/>
  </cols>
  <sheetData>
    <row r="2">
      <c r="B2" s="1" t="inlineStr">
        <is>
          <t>Daily Spend Tracker</t>
        </is>
      </c>
    </row>
    <row r="3">
      <c r="B3" s="2" t="inlineStr">
        <is>
          <t>Log daily — three minutes. Check against plan after day three, then adjust the rest of the trip.</t>
        </is>
      </c>
    </row>
    <row r="5">
      <c r="B5" s="19" t="inlineStr">
        <is>
          <t>Day</t>
        </is>
      </c>
      <c r="C5" s="19" t="inlineStr">
        <is>
          <t>Accommodation</t>
        </is>
      </c>
      <c r="D5" s="19" t="inlineStr">
        <is>
          <t>Food</t>
        </is>
      </c>
      <c r="E5" s="19" t="inlineStr">
        <is>
          <t>Transport</t>
        </is>
      </c>
      <c r="F5" s="19" t="inlineStr">
        <is>
          <t>Activities</t>
        </is>
      </c>
      <c r="G5" s="19" t="inlineStr">
        <is>
          <t>Other</t>
        </is>
      </c>
      <c r="H5" s="19" t="inlineStr">
        <is>
          <t>Day total</t>
        </is>
      </c>
    </row>
    <row r="6">
      <c r="B6" s="9" t="n">
        <v>1</v>
      </c>
      <c r="C6" s="11" t="n"/>
      <c r="D6" s="11" t="n"/>
      <c r="E6" s="11" t="n"/>
      <c r="F6" s="11" t="n"/>
      <c r="G6" s="11" t="n"/>
      <c r="H6" s="12">
        <f>SUM(C6:G6)</f>
        <v/>
      </c>
    </row>
    <row r="7">
      <c r="B7" s="9" t="n">
        <v>2</v>
      </c>
      <c r="C7" s="11" t="n"/>
      <c r="D7" s="11" t="n"/>
      <c r="E7" s="11" t="n"/>
      <c r="F7" s="11" t="n"/>
      <c r="G7" s="11" t="n"/>
      <c r="H7" s="12">
        <f>SUM(C7:G7)</f>
        <v/>
      </c>
    </row>
    <row r="8">
      <c r="B8" s="9" t="n">
        <v>3</v>
      </c>
      <c r="C8" s="11" t="n"/>
      <c r="D8" s="11" t="n"/>
      <c r="E8" s="11" t="n"/>
      <c r="F8" s="11" t="n"/>
      <c r="G8" s="11" t="n"/>
      <c r="H8" s="12">
        <f>SUM(C8:G8)</f>
        <v/>
      </c>
    </row>
    <row r="9">
      <c r="B9" s="9" t="n">
        <v>4</v>
      </c>
      <c r="C9" s="11" t="n"/>
      <c r="D9" s="11" t="n"/>
      <c r="E9" s="11" t="n"/>
      <c r="F9" s="11" t="n"/>
      <c r="G9" s="11" t="n"/>
      <c r="H9" s="12">
        <f>SUM(C9:G9)</f>
        <v/>
      </c>
    </row>
    <row r="10">
      <c r="B10" s="9" t="n">
        <v>5</v>
      </c>
      <c r="C10" s="11" t="n"/>
      <c r="D10" s="11" t="n"/>
      <c r="E10" s="11" t="n"/>
      <c r="F10" s="11" t="n"/>
      <c r="G10" s="11" t="n"/>
      <c r="H10" s="12">
        <f>SUM(C10:G10)</f>
        <v/>
      </c>
    </row>
    <row r="11">
      <c r="B11" s="9" t="n">
        <v>6</v>
      </c>
      <c r="C11" s="11" t="n"/>
      <c r="D11" s="11" t="n"/>
      <c r="E11" s="11" t="n"/>
      <c r="F11" s="11" t="n"/>
      <c r="G11" s="11" t="n"/>
      <c r="H11" s="12">
        <f>SUM(C11:G11)</f>
        <v/>
      </c>
    </row>
    <row r="12">
      <c r="B12" s="9" t="n">
        <v>7</v>
      </c>
      <c r="C12" s="11" t="n"/>
      <c r="D12" s="11" t="n"/>
      <c r="E12" s="11" t="n"/>
      <c r="F12" s="11" t="n"/>
      <c r="G12" s="11" t="n"/>
      <c r="H12" s="12">
        <f>SUM(C12:G12)</f>
        <v/>
      </c>
    </row>
    <row r="13">
      <c r="B13" s="9" t="n">
        <v>8</v>
      </c>
      <c r="C13" s="11" t="n"/>
      <c r="D13" s="11" t="n"/>
      <c r="E13" s="11" t="n"/>
      <c r="F13" s="11" t="n"/>
      <c r="G13" s="11" t="n"/>
      <c r="H13" s="12">
        <f>SUM(C13:G13)</f>
        <v/>
      </c>
    </row>
    <row r="14">
      <c r="B14" s="9" t="n">
        <v>9</v>
      </c>
      <c r="C14" s="11" t="n"/>
      <c r="D14" s="11" t="n"/>
      <c r="E14" s="11" t="n"/>
      <c r="F14" s="11" t="n"/>
      <c r="G14" s="11" t="n"/>
      <c r="H14" s="12">
        <f>SUM(C14:G14)</f>
        <v/>
      </c>
    </row>
    <row r="15">
      <c r="B15" s="9" t="n">
        <v>10</v>
      </c>
      <c r="C15" s="11" t="n"/>
      <c r="D15" s="11" t="n"/>
      <c r="E15" s="11" t="n"/>
      <c r="F15" s="11" t="n"/>
      <c r="G15" s="11" t="n"/>
      <c r="H15" s="12">
        <f>SUM(C15:G15)</f>
        <v/>
      </c>
    </row>
    <row r="16">
      <c r="B16" s="9" t="n">
        <v>11</v>
      </c>
      <c r="C16" s="11" t="n"/>
      <c r="D16" s="11" t="n"/>
      <c r="E16" s="11" t="n"/>
      <c r="F16" s="11" t="n"/>
      <c r="G16" s="11" t="n"/>
      <c r="H16" s="12">
        <f>SUM(C16:G16)</f>
        <v/>
      </c>
    </row>
    <row r="17">
      <c r="B17" s="9" t="n">
        <v>12</v>
      </c>
      <c r="C17" s="11" t="n"/>
      <c r="D17" s="11" t="n"/>
      <c r="E17" s="11" t="n"/>
      <c r="F17" s="11" t="n"/>
      <c r="G17" s="11" t="n"/>
      <c r="H17" s="12">
        <f>SUM(C17:G17)</f>
        <v/>
      </c>
    </row>
    <row r="18">
      <c r="B18" s="9" t="n">
        <v>13</v>
      </c>
      <c r="C18" s="11" t="n"/>
      <c r="D18" s="11" t="n"/>
      <c r="E18" s="11" t="n"/>
      <c r="F18" s="11" t="n"/>
      <c r="G18" s="11" t="n"/>
      <c r="H18" s="12">
        <f>SUM(C18:G18)</f>
        <v/>
      </c>
    </row>
    <row r="19">
      <c r="B19" s="9" t="n">
        <v>14</v>
      </c>
      <c r="C19" s="11" t="n"/>
      <c r="D19" s="11" t="n"/>
      <c r="E19" s="11" t="n"/>
      <c r="F19" s="11" t="n"/>
      <c r="G19" s="11" t="n"/>
      <c r="H19" s="12">
        <f>SUM(C19:G19)</f>
        <v/>
      </c>
    </row>
    <row r="20">
      <c r="B20" s="9" t="n">
        <v>15</v>
      </c>
      <c r="C20" s="11" t="n"/>
      <c r="D20" s="11" t="n"/>
      <c r="E20" s="11" t="n"/>
      <c r="F20" s="11" t="n"/>
      <c r="G20" s="11" t="n"/>
      <c r="H20" s="12">
        <f>SUM(C20:G20)</f>
        <v/>
      </c>
    </row>
    <row r="21">
      <c r="B21" s="9" t="n">
        <v>16</v>
      </c>
      <c r="C21" s="11" t="n"/>
      <c r="D21" s="11" t="n"/>
      <c r="E21" s="11" t="n"/>
      <c r="F21" s="11" t="n"/>
      <c r="G21" s="11" t="n"/>
      <c r="H21" s="12">
        <f>SUM(C21:G21)</f>
        <v/>
      </c>
    </row>
    <row r="22">
      <c r="B22" s="9" t="n">
        <v>17</v>
      </c>
      <c r="C22" s="11" t="n"/>
      <c r="D22" s="11" t="n"/>
      <c r="E22" s="11" t="n"/>
      <c r="F22" s="11" t="n"/>
      <c r="G22" s="11" t="n"/>
      <c r="H22" s="12">
        <f>SUM(C22:G22)</f>
        <v/>
      </c>
    </row>
    <row r="23">
      <c r="B23" s="9" t="n">
        <v>18</v>
      </c>
      <c r="C23" s="11" t="n"/>
      <c r="D23" s="11" t="n"/>
      <c r="E23" s="11" t="n"/>
      <c r="F23" s="11" t="n"/>
      <c r="G23" s="11" t="n"/>
      <c r="H23" s="12">
        <f>SUM(C23:G23)</f>
        <v/>
      </c>
    </row>
    <row r="24">
      <c r="B24" s="9" t="n">
        <v>19</v>
      </c>
      <c r="C24" s="11" t="n"/>
      <c r="D24" s="11" t="n"/>
      <c r="E24" s="11" t="n"/>
      <c r="F24" s="11" t="n"/>
      <c r="G24" s="11" t="n"/>
      <c r="H24" s="12">
        <f>SUM(C24:G24)</f>
        <v/>
      </c>
    </row>
    <row r="25">
      <c r="B25" s="9" t="n">
        <v>20</v>
      </c>
      <c r="C25" s="11" t="n"/>
      <c r="D25" s="11" t="n"/>
      <c r="E25" s="11" t="n"/>
      <c r="F25" s="11" t="n"/>
      <c r="G25" s="11" t="n"/>
      <c r="H25" s="12">
        <f>SUM(C25:G25)</f>
        <v/>
      </c>
    </row>
    <row r="26">
      <c r="B26" s="9" t="n">
        <v>21</v>
      </c>
      <c r="C26" s="11" t="n"/>
      <c r="D26" s="11" t="n"/>
      <c r="E26" s="11" t="n"/>
      <c r="F26" s="11" t="n"/>
      <c r="G26" s="11" t="n"/>
      <c r="H26" s="12">
        <f>SUM(C26:G26)</f>
        <v/>
      </c>
    </row>
    <row r="27">
      <c r="B27" s="9" t="n">
        <v>22</v>
      </c>
      <c r="C27" s="11" t="n"/>
      <c r="D27" s="11" t="n"/>
      <c r="E27" s="11" t="n"/>
      <c r="F27" s="11" t="n"/>
      <c r="G27" s="11" t="n"/>
      <c r="H27" s="12">
        <f>SUM(C27:G27)</f>
        <v/>
      </c>
    </row>
    <row r="28">
      <c r="B28" s="9" t="n">
        <v>23</v>
      </c>
      <c r="C28" s="11" t="n"/>
      <c r="D28" s="11" t="n"/>
      <c r="E28" s="11" t="n"/>
      <c r="F28" s="11" t="n"/>
      <c r="G28" s="11" t="n"/>
      <c r="H28" s="12">
        <f>SUM(C28:G28)</f>
        <v/>
      </c>
    </row>
    <row r="29">
      <c r="B29" s="9" t="n">
        <v>24</v>
      </c>
      <c r="C29" s="11" t="n"/>
      <c r="D29" s="11" t="n"/>
      <c r="E29" s="11" t="n"/>
      <c r="F29" s="11" t="n"/>
      <c r="G29" s="11" t="n"/>
      <c r="H29" s="12">
        <f>SUM(C29:G29)</f>
        <v/>
      </c>
    </row>
    <row r="30">
      <c r="B30" s="9" t="n">
        <v>25</v>
      </c>
      <c r="C30" s="11" t="n"/>
      <c r="D30" s="11" t="n"/>
      <c r="E30" s="11" t="n"/>
      <c r="F30" s="11" t="n"/>
      <c r="G30" s="11" t="n"/>
      <c r="H30" s="12">
        <f>SUM(C30:G30)</f>
        <v/>
      </c>
    </row>
    <row r="31">
      <c r="B31" s="9" t="n">
        <v>26</v>
      </c>
      <c r="C31" s="11" t="n"/>
      <c r="D31" s="11" t="n"/>
      <c r="E31" s="11" t="n"/>
      <c r="F31" s="11" t="n"/>
      <c r="G31" s="11" t="n"/>
      <c r="H31" s="12">
        <f>SUM(C31:G31)</f>
        <v/>
      </c>
    </row>
    <row r="32">
      <c r="B32" s="9" t="n">
        <v>27</v>
      </c>
      <c r="C32" s="11" t="n"/>
      <c r="D32" s="11" t="n"/>
      <c r="E32" s="11" t="n"/>
      <c r="F32" s="11" t="n"/>
      <c r="G32" s="11" t="n"/>
      <c r="H32" s="12">
        <f>SUM(C32:G32)</f>
        <v/>
      </c>
    </row>
    <row r="33">
      <c r="B33" s="9" t="n">
        <v>28</v>
      </c>
      <c r="C33" s="11" t="n"/>
      <c r="D33" s="11" t="n"/>
      <c r="E33" s="11" t="n"/>
      <c r="F33" s="11" t="n"/>
      <c r="G33" s="11" t="n"/>
      <c r="H33" s="12">
        <f>SUM(C33:G33)</f>
        <v/>
      </c>
    </row>
    <row r="34">
      <c r="B34" s="9" t="n">
        <v>29</v>
      </c>
      <c r="C34" s="11" t="n"/>
      <c r="D34" s="11" t="n"/>
      <c r="E34" s="11" t="n"/>
      <c r="F34" s="11" t="n"/>
      <c r="G34" s="11" t="n"/>
      <c r="H34" s="12">
        <f>SUM(C34:G34)</f>
        <v/>
      </c>
    </row>
    <row r="35">
      <c r="B35" s="9" t="n">
        <v>30</v>
      </c>
      <c r="C35" s="11" t="n"/>
      <c r="D35" s="11" t="n"/>
      <c r="E35" s="11" t="n"/>
      <c r="F35" s="11" t="n"/>
      <c r="G35" s="11" t="n"/>
      <c r="H35" s="12">
        <f>SUM(C35:G35)</f>
        <v/>
      </c>
    </row>
    <row r="36">
      <c r="B36" s="5" t="inlineStr">
        <is>
          <t>TOTAL</t>
        </is>
      </c>
      <c r="C36" s="13">
        <f>SUM(C6:C35)</f>
        <v/>
      </c>
      <c r="D36" s="13">
        <f>SUM(D6:D35)</f>
        <v/>
      </c>
      <c r="E36" s="13">
        <f>SUM(E6:E35)</f>
        <v/>
      </c>
      <c r="F36" s="13">
        <f>SUM(F6:F35)</f>
        <v/>
      </c>
      <c r="G36" s="13">
        <f>SUM(G6:G35)</f>
        <v/>
      </c>
      <c r="H36" s="13">
        <f>SUM(H6:H35)</f>
        <v/>
      </c>
    </row>
    <row r="37">
      <c r="B37" s="5" t="inlineStr">
        <is>
          <t>Planned</t>
        </is>
      </c>
      <c r="H37" s="14">
        <f>Budget!E57</f>
        <v/>
      </c>
    </row>
    <row r="38">
      <c r="B38" s="5" t="inlineStr">
        <is>
          <t>Variance</t>
        </is>
      </c>
      <c r="H38" s="13">
        <f>H36-H37</f>
        <v/>
      </c>
      <c r="I38" s="2" t="inlineStr">
        <is>
          <t>Negative = under budget. Check this after day three, not at the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2026-08-26T12:12:07Z</dcterms:created>
  <dcterms:modified xsi:type="dcterms:W3CDTF">2026-08-26T12:26:23Z</dcterms:modified>
</cp:coreProperties>
</file>